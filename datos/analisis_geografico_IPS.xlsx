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6E478CBE-56D1-4876-AEB3-23AF4397D7B7}" xr6:coauthVersionLast="47" xr6:coauthVersionMax="47" xr10:uidLastSave="{00000000-0000-0000-0000-000000000000}"/>
  <bookViews>
    <workbookView xWindow="-120" yWindow="-120" windowWidth="29040" windowHeight="15720" xr2:uid="{478B4DC3-0EA3-4B96-9729-935F18554AF3}"/>
  </bookViews>
  <sheets>
    <sheet name="B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2" i="1"/>
</calcChain>
</file>

<file path=xl/sharedStrings.xml><?xml version="1.0" encoding="utf-8"?>
<sst xmlns="http://schemas.openxmlformats.org/spreadsheetml/2006/main" count="83" uniqueCount="79">
  <si>
    <t>Longitud</t>
  </si>
  <si>
    <t>Latitud</t>
  </si>
  <si>
    <t>05</t>
  </si>
  <si>
    <t>08</t>
  </si>
  <si>
    <t>13</t>
  </si>
  <si>
    <t>17</t>
  </si>
  <si>
    <t>18</t>
  </si>
  <si>
    <t>19</t>
  </si>
  <si>
    <t>20</t>
  </si>
  <si>
    <t>23</t>
  </si>
  <si>
    <t>25</t>
  </si>
  <si>
    <t>27</t>
  </si>
  <si>
    <t>41</t>
  </si>
  <si>
    <t>44</t>
  </si>
  <si>
    <t>47</t>
  </si>
  <si>
    <t>50</t>
  </si>
  <si>
    <t>52</t>
  </si>
  <si>
    <t>54</t>
  </si>
  <si>
    <t>63</t>
  </si>
  <si>
    <t>66</t>
  </si>
  <si>
    <t>68</t>
  </si>
  <si>
    <t>70</t>
  </si>
  <si>
    <t>73</t>
  </si>
  <si>
    <t>76</t>
  </si>
  <si>
    <t>81</t>
  </si>
  <si>
    <t>85</t>
  </si>
  <si>
    <t>86</t>
  </si>
  <si>
    <t>88</t>
  </si>
  <si>
    <t>91</t>
  </si>
  <si>
    <t>94</t>
  </si>
  <si>
    <t>95</t>
  </si>
  <si>
    <t>97</t>
  </si>
  <si>
    <t>99</t>
  </si>
  <si>
    <t>AMAZONAS</t>
  </si>
  <si>
    <t>ANTIOQUIA</t>
  </si>
  <si>
    <t>ARAUCA</t>
  </si>
  <si>
    <t>BARRANQUILLA</t>
  </si>
  <si>
    <t>BUENAVENTURA</t>
  </si>
  <si>
    <t>CALDAS</t>
  </si>
  <si>
    <t>CARTAGENA</t>
  </si>
  <si>
    <t>CASANARE</t>
  </si>
  <si>
    <t>CAUCA</t>
  </si>
  <si>
    <t>CESAR</t>
  </si>
  <si>
    <t>CUNDINAMARCA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</si>
  <si>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</si>
  <si>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</si>
  <si>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</si>
  <si>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</si>
  <si>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</si>
  <si>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</si>
  <si>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</si>
  <si>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</si>
  <si>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RISARALDA</t>
  </si>
  <si>
    <t>SANTA MARTA</t>
  </si>
  <si>
    <t>SANTANDER</t>
  </si>
  <si>
    <t>SUCRE</t>
  </si>
  <si>
    <t>TOLIMA</t>
  </si>
  <si>
    <t>VALLE DEL CAUCA</t>
  </si>
  <si>
    <t>VICHADA</t>
  </si>
  <si>
    <t>ATLANTICO</t>
  </si>
  <si>
    <t>BOLIVAR</t>
  </si>
  <si>
    <t>BOYACA</t>
  </si>
  <si>
    <t>CAQUETA</t>
  </si>
  <si>
    <t>SAN ANDRES Y PROVIDENCIA</t>
  </si>
  <si>
    <t>VAUPES</t>
  </si>
  <si>
    <t>GUAINIA</t>
  </si>
  <si>
    <t>QUINDIO</t>
  </si>
  <si>
    <t>CHOCO</t>
  </si>
  <si>
    <t>CORDOBA</t>
  </si>
  <si>
    <t>11</t>
  </si>
  <si>
    <t>Codigo_Departamento</t>
  </si>
  <si>
    <t>Nombre_Departamento</t>
  </si>
  <si>
    <t>Poblacion</t>
  </si>
  <si>
    <t>Densidad_Poblacional</t>
  </si>
  <si>
    <t>Núm_prestadores_habilitados</t>
  </si>
  <si>
    <t>Prestadores_por_km2</t>
  </si>
  <si>
    <t>Superficie_km2</t>
  </si>
  <si>
    <t>Cobertura_Relativa</t>
  </si>
  <si>
    <t>BOGOTA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</si>
</sst>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" fontId="1" fillId="2" borderId="0" xfId="0" applyNumberFormat="1" applyFont="1" applyFill="1" applyAlignment="1">
      <alignment horizontal="left" vertical="center"/>
    </xf>
    <xf numFmtId="2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022D7-65DD-4DD1-94D6-F7324E31481D}">
  <dimension ref="A1:J38"/>
  <sheetViews>
    <sheetView showGridLines="0" tabSelected="1" workbookViewId="0">
      <pane ySplit="1" topLeftCell="A2" activePane="bottomLeft" state="frozen"/>
      <selection pane="bottomLeft" activeCell="B8" sqref="B8"/>
    </sheetView>
  </sheetViews>
  <sheetFormatPr baseColWidth="10" defaultColWidth="11.125" defaultRowHeight="14.25"/>
  <cols>
    <col min="1" max="1" width="20.875" style="1" bestFit="1" customWidth="1"/>
    <col min="2" max="2" width="27.5" style="1" bestFit="1" customWidth="1"/>
    <col min="3" max="3" width="9.625" style="3" bestFit="1" customWidth="1"/>
    <col min="4" max="4" width="14.5" style="3" bestFit="1" customWidth="1"/>
    <col min="5" max="5" width="20.625" style="1" bestFit="1" customWidth="1"/>
    <col min="6" max="6" width="27.625" style="3" bestFit="1" customWidth="1"/>
    <col min="7" max="7" width="20.375" style="1" bestFit="1" customWidth="1"/>
    <col min="8" max="8" width="18.25" style="1" bestFit="1" customWidth="1"/>
    <col min="9" max="9" width="11.375" style="2" bestFit="1" customWidth="1"/>
    <col min="10" max="10" width="12" style="1" bestFit="1" customWidth="1"/>
    <col min="11" max="16384" width="11.125" style="1"/>
  </cols>
  <sheetData>
    <row r="1" spans="1:10" ht="15">
      <c r="A1" s="4" t="s">
        <v>70</v>
      </c>
      <c r="B1" s="5" t="s">
        <v>71</v>
      </c>
      <c r="C1" s="6" t="s">
        <v>72</v>
      </c>
      <c r="D1" s="6" t="s">
        <v>76</v>
      </c>
      <c r="E1" s="4" t="s">
        <v>73</v>
      </c>
      <c r="F1" s="6" t="s">
        <v>74</v>
      </c>
      <c r="G1" s="6" t="s">
        <v>75</v>
      </c>
      <c r="H1" s="4" t="s">
        <v>77</v>
      </c>
      <c r="I1" s="4" t="s">
        <v>1</v>
      </c>
      <c r="J1" s="4" t="s">
        <v>0</v>
      </c>
    </row>
    <row r="2" spans="1:10">
      <c r="A2" s="2" t="s">
        <v>28</v>
      </c>
      <c r="B2" s="1" t="s">
        <v>33</v>
      </c>
      <c r="C2" s="3">
        <v>85057</v>
      </c>
      <c r="D2" s="3">
        <v>109665</v>
      </c>
      <c r="E2" s="7">
        <v>0.77560753202936217</v>
      </c>
      <c r="F2" s="3">
        <v>53</v>
      </c>
      <c r="G2" s="1">
        <f t="shared" ref="G2:G38" si="0">F2/D2</f>
        <v>4.8329001960516118E-4</v>
      </c>
      <c r="H2" s="1">
        <f t="shared" ref="H2:H38" si="1">(F2/C2)/(SUM($F$2:$F$38)/SUM($C$2:$C$38))</f>
        <v>0.59098983150454532</v>
      </c>
      <c r="I2" s="2">
        <v>-1.5462276800000001</v>
      </c>
      <c r="J2" s="2">
        <v>-71.502128577999997</v>
      </c>
    </row>
    <row r="3" spans="1:10">
      <c r="A3" s="2" t="s">
        <v>2</v>
      </c>
      <c r="B3" s="1" t="s">
        <v>34</v>
      </c>
      <c r="C3" s="3">
        <v>6928372</v>
      </c>
      <c r="D3" s="3">
        <v>63612</v>
      </c>
      <c r="E3" s="7">
        <v>108.91611645601459</v>
      </c>
      <c r="F3" s="3">
        <v>11737</v>
      </c>
      <c r="G3" s="1">
        <f t="shared" si="0"/>
        <v>0.18450921209834623</v>
      </c>
      <c r="H3" s="1">
        <f t="shared" si="1"/>
        <v>1.6067196552214007</v>
      </c>
      <c r="I3" s="2">
        <v>6.7020321249999997</v>
      </c>
      <c r="J3" s="2">
        <v>-75.504557036999998</v>
      </c>
    </row>
    <row r="4" spans="1:10">
      <c r="A4" s="2" t="s">
        <v>24</v>
      </c>
      <c r="B4" s="1" t="s">
        <v>35</v>
      </c>
      <c r="C4" s="3">
        <v>279191</v>
      </c>
      <c r="D4" s="3">
        <v>23818</v>
      </c>
      <c r="E4" s="7">
        <v>11.721849021748257</v>
      </c>
      <c r="F4" s="3">
        <v>224</v>
      </c>
      <c r="G4" s="1">
        <f t="shared" si="0"/>
        <v>9.4046519439079691E-3</v>
      </c>
      <c r="H4" s="1">
        <f t="shared" si="1"/>
        <v>0.76095820451145768</v>
      </c>
      <c r="I4" s="2">
        <v>6.5695772149999998</v>
      </c>
      <c r="J4" s="2">
        <v>-70.967323937000003</v>
      </c>
    </row>
    <row r="5" spans="1:10">
      <c r="A5" s="2" t="s">
        <v>3</v>
      </c>
      <c r="B5" s="1" t="s">
        <v>59</v>
      </c>
      <c r="C5" s="3">
        <v>1585690</v>
      </c>
      <c r="D5" s="3">
        <v>3388</v>
      </c>
      <c r="E5" s="7">
        <v>468.03128689492326</v>
      </c>
      <c r="F5" s="3">
        <v>604</v>
      </c>
      <c r="G5" s="1">
        <f t="shared" si="0"/>
        <v>0.1782762691853601</v>
      </c>
      <c r="H5" s="1">
        <f t="shared" si="1"/>
        <v>0.36127079191122202</v>
      </c>
      <c r="I5" s="2">
        <v>10.677009534</v>
      </c>
      <c r="J5" s="2">
        <v>-74.965219492000003</v>
      </c>
    </row>
    <row r="6" spans="1:10">
      <c r="A6" s="2" t="s">
        <v>3</v>
      </c>
      <c r="B6" s="1" t="s">
        <v>36</v>
      </c>
      <c r="C6" s="3">
        <v>1279344</v>
      </c>
      <c r="D6" s="3">
        <v>154</v>
      </c>
      <c r="E6" s="7">
        <v>8307.4285714285706</v>
      </c>
      <c r="F6" s="3">
        <v>1828</v>
      </c>
      <c r="G6" s="1">
        <f t="shared" si="0"/>
        <v>11.870129870129871</v>
      </c>
      <c r="H6" s="1">
        <f t="shared" si="1"/>
        <v>1.35519894387589</v>
      </c>
      <c r="I6" s="2">
        <v>10.977961000000001</v>
      </c>
      <c r="J6" s="2">
        <v>-74.815545999999998</v>
      </c>
    </row>
    <row r="7" spans="1:10">
      <c r="A7" s="2" t="s">
        <v>69</v>
      </c>
      <c r="B7" s="1" t="s">
        <v>78</v>
      </c>
      <c r="C7" s="3">
        <v>7942867</v>
      </c>
      <c r="D7" s="3">
        <v>1578</v>
      </c>
      <c r="E7" s="7">
        <v>5033.5025348542458</v>
      </c>
      <c r="F7" s="3">
        <v>13774</v>
      </c>
      <c r="G7" s="1">
        <f t="shared" si="0"/>
        <v>8.7287705956907473</v>
      </c>
      <c r="H7" s="1">
        <f t="shared" si="1"/>
        <v>1.6447389901797469</v>
      </c>
      <c r="I7" s="2">
        <v>4.6492509999999996</v>
      </c>
      <c r="J7" s="2">
        <v>-74.106992000000005</v>
      </c>
    </row>
    <row r="8" spans="1:10">
      <c r="A8" s="2" t="s">
        <v>4</v>
      </c>
      <c r="B8" s="1" t="s">
        <v>60</v>
      </c>
      <c r="C8" s="3">
        <v>1229762</v>
      </c>
      <c r="D8" s="3">
        <v>25978</v>
      </c>
      <c r="E8" s="7">
        <v>47.338594195088149</v>
      </c>
      <c r="F8" s="3">
        <v>400</v>
      </c>
      <c r="G8" s="1">
        <f t="shared" si="0"/>
        <v>1.5397644160443452E-2</v>
      </c>
      <c r="H8" s="1">
        <f t="shared" si="1"/>
        <v>0.30849854640247226</v>
      </c>
      <c r="I8" s="2">
        <v>8.0797968630000003</v>
      </c>
      <c r="J8" s="2">
        <v>-74.235148136000007</v>
      </c>
    </row>
    <row r="9" spans="1:10">
      <c r="A9" s="2">
        <v>15</v>
      </c>
      <c r="B9" s="1" t="s">
        <v>61</v>
      </c>
      <c r="C9" s="3">
        <v>1290393</v>
      </c>
      <c r="D9" s="3">
        <v>23189</v>
      </c>
      <c r="E9" s="7">
        <v>55.646772176462981</v>
      </c>
      <c r="F9" s="3">
        <v>1610</v>
      </c>
      <c r="G9" s="1">
        <f t="shared" si="0"/>
        <v>6.9429470869808968E-2</v>
      </c>
      <c r="H9" s="1">
        <f t="shared" si="1"/>
        <v>1.1833632485758319</v>
      </c>
      <c r="I9" s="2">
        <v>5.8916728889999996</v>
      </c>
      <c r="J9" s="2">
        <v>-72.627880544000007</v>
      </c>
    </row>
    <row r="10" spans="1:10">
      <c r="A10" s="2" t="s">
        <v>23</v>
      </c>
      <c r="B10" s="1" t="s">
        <v>37</v>
      </c>
      <c r="C10" s="3">
        <v>332054</v>
      </c>
      <c r="D10" s="3">
        <v>6078</v>
      </c>
      <c r="E10" s="7">
        <v>54.632115827574857</v>
      </c>
      <c r="F10" s="3">
        <v>151</v>
      </c>
      <c r="G10" s="1">
        <f t="shared" si="0"/>
        <v>2.4843698585060876E-2</v>
      </c>
      <c r="H10" s="1">
        <f t="shared" si="1"/>
        <v>0.4313029522500148</v>
      </c>
      <c r="I10" s="2">
        <v>3.8757079999999999</v>
      </c>
      <c r="J10" s="2">
        <v>-77.010739999999998</v>
      </c>
    </row>
    <row r="11" spans="1:10">
      <c r="A11" s="2" t="s">
        <v>5</v>
      </c>
      <c r="B11" s="1" t="s">
        <v>38</v>
      </c>
      <c r="C11" s="3">
        <v>1054450</v>
      </c>
      <c r="D11" s="3">
        <v>7888</v>
      </c>
      <c r="E11" s="7">
        <v>133.67773833671399</v>
      </c>
      <c r="F11" s="3">
        <v>1488</v>
      </c>
      <c r="G11" s="1">
        <f t="shared" si="0"/>
        <v>0.18864097363083165</v>
      </c>
      <c r="H11" s="1">
        <f t="shared" si="1"/>
        <v>1.3384160620665837</v>
      </c>
      <c r="I11" s="2">
        <v>5.2801399780000002</v>
      </c>
      <c r="J11" s="2">
        <v>-75.274983036999998</v>
      </c>
    </row>
    <row r="12" spans="1:10">
      <c r="A12" s="2" t="s">
        <v>6</v>
      </c>
      <c r="B12" s="1" t="s">
        <v>62</v>
      </c>
      <c r="C12" s="3">
        <v>429041</v>
      </c>
      <c r="D12" s="3">
        <v>88965</v>
      </c>
      <c r="E12" s="7">
        <v>4.8225819142359354</v>
      </c>
      <c r="F12" s="3">
        <v>251</v>
      </c>
      <c r="G12" s="1">
        <f t="shared" si="0"/>
        <v>2.8213342325633674E-3</v>
      </c>
      <c r="H12" s="1">
        <f t="shared" si="1"/>
        <v>0.55486729208088659</v>
      </c>
      <c r="I12" s="2">
        <v>0.79855619499999997</v>
      </c>
      <c r="J12" s="2">
        <v>-73.959467560999997</v>
      </c>
    </row>
    <row r="13" spans="1:10">
      <c r="A13" s="2" t="s">
        <v>4</v>
      </c>
      <c r="B13" s="1" t="s">
        <v>39</v>
      </c>
      <c r="C13" s="3">
        <v>1011520</v>
      </c>
      <c r="D13" s="3">
        <v>572</v>
      </c>
      <c r="E13" s="7">
        <v>1768.3916083916083</v>
      </c>
      <c r="F13" s="3">
        <v>1226</v>
      </c>
      <c r="G13" s="1">
        <f t="shared" si="0"/>
        <v>2.1433566433566433</v>
      </c>
      <c r="H13" s="1">
        <f t="shared" si="1"/>
        <v>1.1495561675254629</v>
      </c>
      <c r="I13" s="2">
        <v>10.385126</v>
      </c>
      <c r="J13" s="2">
        <v>-75.496268999999998</v>
      </c>
    </row>
    <row r="14" spans="1:10">
      <c r="A14" s="2" t="s">
        <v>25</v>
      </c>
      <c r="B14" s="1" t="s">
        <v>40</v>
      </c>
      <c r="C14" s="3">
        <v>473165</v>
      </c>
      <c r="D14" s="3">
        <v>44640</v>
      </c>
      <c r="E14" s="7">
        <v>10.599574372759857</v>
      </c>
      <c r="F14" s="3">
        <v>439</v>
      </c>
      <c r="G14" s="1">
        <f t="shared" si="0"/>
        <v>9.8342293906810031E-3</v>
      </c>
      <c r="H14" s="1">
        <f t="shared" si="1"/>
        <v>0.87996643642184924</v>
      </c>
      <c r="I14" s="2">
        <v>5.404064237</v>
      </c>
      <c r="J14" s="2">
        <v>-71.601880726000005</v>
      </c>
    </row>
    <row r="15" spans="1:10">
      <c r="A15" s="2" t="s">
        <v>7</v>
      </c>
      <c r="B15" s="1" t="s">
        <v>41</v>
      </c>
      <c r="C15" s="3">
        <v>1599148</v>
      </c>
      <c r="D15" s="3">
        <v>29308</v>
      </c>
      <c r="E15" s="7">
        <v>54.563532141394838</v>
      </c>
      <c r="F15" s="3">
        <v>840</v>
      </c>
      <c r="G15" s="1">
        <f t="shared" si="0"/>
        <v>2.8661116418725263E-2</v>
      </c>
      <c r="H15" s="1">
        <f t="shared" si="1"/>
        <v>0.49820126578909141</v>
      </c>
      <c r="I15" s="2">
        <v>2.3968338870000001</v>
      </c>
      <c r="J15" s="2">
        <v>-76.824232828000007</v>
      </c>
    </row>
    <row r="16" spans="1:10">
      <c r="A16" s="2" t="s">
        <v>8</v>
      </c>
      <c r="B16" s="1" t="s">
        <v>42</v>
      </c>
      <c r="C16" s="3">
        <v>1469159</v>
      </c>
      <c r="D16" s="3">
        <v>22905</v>
      </c>
      <c r="E16" s="7">
        <v>64.14141017245143</v>
      </c>
      <c r="F16" s="3">
        <v>976</v>
      </c>
      <c r="G16" s="1">
        <f t="shared" si="0"/>
        <v>4.2610783671687406E-2</v>
      </c>
      <c r="H16" s="1">
        <f t="shared" si="1"/>
        <v>0.63007930808526025</v>
      </c>
      <c r="I16" s="2">
        <v>9.5366599300000008</v>
      </c>
      <c r="J16" s="2">
        <v>-73.517831544000003</v>
      </c>
    </row>
    <row r="17" spans="1:10">
      <c r="A17" s="2" t="s">
        <v>11</v>
      </c>
      <c r="B17" s="1" t="s">
        <v>67</v>
      </c>
      <c r="C17" s="3">
        <v>593106</v>
      </c>
      <c r="D17" s="3">
        <v>46530</v>
      </c>
      <c r="E17" s="7">
        <v>12.746744036105738</v>
      </c>
      <c r="F17" s="3">
        <v>276</v>
      </c>
      <c r="G17" s="1">
        <f t="shared" si="0"/>
        <v>5.9316569954867828E-3</v>
      </c>
      <c r="H17" s="1">
        <f t="shared" si="1"/>
        <v>0.44135796080378209</v>
      </c>
      <c r="I17" s="2">
        <v>5.3975815420000002</v>
      </c>
      <c r="J17" s="2">
        <v>-76.942811001999999</v>
      </c>
    </row>
    <row r="18" spans="1:10">
      <c r="A18" s="2" t="s">
        <v>9</v>
      </c>
      <c r="B18" s="1" t="s">
        <v>68</v>
      </c>
      <c r="C18" s="3">
        <v>1992907</v>
      </c>
      <c r="D18" s="3">
        <v>25020</v>
      </c>
      <c r="E18" s="7">
        <v>79.652557953637086</v>
      </c>
      <c r="F18" s="3">
        <v>965</v>
      </c>
      <c r="G18" s="1">
        <f t="shared" si="0"/>
        <v>3.8569144684252599E-2</v>
      </c>
      <c r="H18" s="1">
        <f t="shared" si="1"/>
        <v>0.45925562104912848</v>
      </c>
      <c r="I18" s="2">
        <v>8.3585497540000002</v>
      </c>
      <c r="J18" s="2">
        <v>-75.792008718000005</v>
      </c>
    </row>
    <row r="19" spans="1:10">
      <c r="A19" s="2" t="s">
        <v>10</v>
      </c>
      <c r="B19" s="1" t="s">
        <v>43</v>
      </c>
      <c r="C19" s="3">
        <v>3535067</v>
      </c>
      <c r="D19" s="3">
        <v>25986</v>
      </c>
      <c r="E19" s="7">
        <v>136.03736627414762</v>
      </c>
      <c r="F19" s="3">
        <v>2881</v>
      </c>
      <c r="G19" s="1">
        <f t="shared" si="0"/>
        <v>0.11086739013314861</v>
      </c>
      <c r="H19" s="1">
        <f t="shared" si="1"/>
        <v>0.77296496312650698</v>
      </c>
      <c r="I19" s="2">
        <v>4.7711207160000004</v>
      </c>
      <c r="J19" s="2">
        <v>-74.431110915999994</v>
      </c>
    </row>
    <row r="20" spans="1:10">
      <c r="A20" s="2" t="s">
        <v>29</v>
      </c>
      <c r="B20" s="1" t="s">
        <v>65</v>
      </c>
      <c r="C20" s="3">
        <v>59706</v>
      </c>
      <c r="D20" s="3">
        <v>72238</v>
      </c>
      <c r="E20" s="7">
        <v>0.82651789916664364</v>
      </c>
      <c r="F20" s="3">
        <v>24</v>
      </c>
      <c r="G20" s="1">
        <f t="shared" si="0"/>
        <v>3.3223511171405631E-4</v>
      </c>
      <c r="H20" s="1">
        <f t="shared" si="1"/>
        <v>0.38124790415133869</v>
      </c>
      <c r="I20" s="2">
        <v>2.727842865</v>
      </c>
      <c r="J20" s="2">
        <v>-68.816612720999998</v>
      </c>
    </row>
    <row r="21" spans="1:10">
      <c r="A21" s="2" t="s">
        <v>30</v>
      </c>
      <c r="B21" s="1" t="s">
        <v>44</v>
      </c>
      <c r="C21" s="3">
        <v>84696</v>
      </c>
      <c r="D21" s="3">
        <v>53460</v>
      </c>
      <c r="E21" s="7">
        <v>1.5842873176206509</v>
      </c>
      <c r="F21" s="3">
        <v>76</v>
      </c>
      <c r="G21" s="1">
        <f t="shared" si="0"/>
        <v>1.4216236438458661E-3</v>
      </c>
      <c r="H21" s="1">
        <f t="shared" si="1"/>
        <v>0.85106923573710025</v>
      </c>
      <c r="I21" s="2">
        <v>1.9245319729999999</v>
      </c>
      <c r="J21" s="2">
        <v>-72.128595691000001</v>
      </c>
    </row>
    <row r="22" spans="1:10">
      <c r="A22" s="2" t="s">
        <v>12</v>
      </c>
      <c r="B22" s="1" t="s">
        <v>45</v>
      </c>
      <c r="C22" s="3">
        <v>1208728</v>
      </c>
      <c r="D22" s="3">
        <v>19890</v>
      </c>
      <c r="E22" s="7">
        <v>60.77063851181498</v>
      </c>
      <c r="F22" s="3">
        <v>1161</v>
      </c>
      <c r="G22" s="1">
        <f t="shared" si="0"/>
        <v>5.8371040723981901E-2</v>
      </c>
      <c r="H22" s="1">
        <f t="shared" si="1"/>
        <v>0.91099886723435219</v>
      </c>
      <c r="I22" s="2">
        <v>2.570143029</v>
      </c>
      <c r="J22" s="2">
        <v>-75.584348363000004</v>
      </c>
    </row>
    <row r="23" spans="1:10">
      <c r="A23" s="2" t="s">
        <v>13</v>
      </c>
      <c r="B23" s="1" t="s">
        <v>46</v>
      </c>
      <c r="C23" s="3">
        <v>1066679</v>
      </c>
      <c r="D23" s="3">
        <v>20848</v>
      </c>
      <c r="E23" s="7">
        <v>51.164572141212588</v>
      </c>
      <c r="F23" s="3">
        <v>394</v>
      </c>
      <c r="G23" s="1">
        <f t="shared" si="0"/>
        <v>1.8898695318495778E-2</v>
      </c>
      <c r="H23" s="1">
        <f t="shared" si="1"/>
        <v>0.35032947360891342</v>
      </c>
      <c r="I23" s="2">
        <v>11.476870076999999</v>
      </c>
      <c r="J23" s="2">
        <v>-72.429510723999996</v>
      </c>
    </row>
    <row r="24" spans="1:10">
      <c r="A24" s="2" t="s">
        <v>14</v>
      </c>
      <c r="B24" s="1" t="s">
        <v>47</v>
      </c>
      <c r="C24" s="3">
        <v>962113</v>
      </c>
      <c r="D24" s="3">
        <v>23188</v>
      </c>
      <c r="E24" s="7">
        <v>41.491849232361567</v>
      </c>
      <c r="F24" s="3">
        <v>262</v>
      </c>
      <c r="G24" s="1">
        <f t="shared" si="0"/>
        <v>1.1298947731585303E-2</v>
      </c>
      <c r="H24" s="1">
        <f t="shared" si="1"/>
        <v>0.25827918557461865</v>
      </c>
      <c r="I24" s="2">
        <v>10.24738355</v>
      </c>
      <c r="J24" s="2">
        <v>-74.261757329999995</v>
      </c>
    </row>
    <row r="25" spans="1:10">
      <c r="A25" s="2" t="s">
        <v>15</v>
      </c>
      <c r="B25" s="1" t="s">
        <v>48</v>
      </c>
      <c r="C25" s="3">
        <v>1156405</v>
      </c>
      <c r="D25" s="3">
        <v>82805</v>
      </c>
      <c r="E25" s="7">
        <v>13.965400640057968</v>
      </c>
      <c r="F25" s="3">
        <v>905</v>
      </c>
      <c r="G25" s="1">
        <f t="shared" si="0"/>
        <v>1.0929291709437836E-2</v>
      </c>
      <c r="H25" s="1">
        <f t="shared" si="1"/>
        <v>0.74225446410643847</v>
      </c>
      <c r="I25" s="2">
        <v>3.3455627319999999</v>
      </c>
      <c r="J25" s="2">
        <v>-72.956459879999997</v>
      </c>
    </row>
    <row r="26" spans="1:10">
      <c r="A26" s="2" t="s">
        <v>16</v>
      </c>
      <c r="B26" s="1" t="s">
        <v>49</v>
      </c>
      <c r="C26" s="3">
        <v>1713586</v>
      </c>
      <c r="D26" s="3">
        <v>33268</v>
      </c>
      <c r="E26" s="7">
        <v>51.50853673199471</v>
      </c>
      <c r="F26" s="3">
        <v>1716</v>
      </c>
      <c r="G26" s="1">
        <f t="shared" si="0"/>
        <v>5.1581098953949744E-2</v>
      </c>
      <c r="H26" s="1">
        <f t="shared" si="1"/>
        <v>0.94978559384593342</v>
      </c>
      <c r="I26" s="2">
        <v>1.5710949869999999</v>
      </c>
      <c r="J26" s="2">
        <v>-77.870204959999995</v>
      </c>
    </row>
    <row r="27" spans="1:10">
      <c r="A27" s="2" t="s">
        <v>17</v>
      </c>
      <c r="B27" s="1" t="s">
        <v>50</v>
      </c>
      <c r="C27" s="3">
        <v>1709289</v>
      </c>
      <c r="D27" s="3">
        <v>23460</v>
      </c>
      <c r="E27" s="7">
        <v>72.859718670076731</v>
      </c>
      <c r="F27" s="3">
        <v>1609</v>
      </c>
      <c r="G27" s="1">
        <f t="shared" si="0"/>
        <v>6.8584825234441607E-2</v>
      </c>
      <c r="H27" s="1">
        <f t="shared" si="1"/>
        <v>0.89280116056790915</v>
      </c>
      <c r="I27" s="2">
        <v>8.0951375100000007</v>
      </c>
      <c r="J27" s="2">
        <v>-72.881882969000003</v>
      </c>
    </row>
    <row r="28" spans="1:10">
      <c r="A28" s="2" t="s">
        <v>26</v>
      </c>
      <c r="B28" s="1" t="s">
        <v>51</v>
      </c>
      <c r="C28" s="3">
        <v>390742</v>
      </c>
      <c r="D28" s="3">
        <v>24885</v>
      </c>
      <c r="E28" s="7">
        <v>15.701908780389793</v>
      </c>
      <c r="F28" s="3">
        <v>227</v>
      </c>
      <c r="G28" s="1">
        <f t="shared" si="0"/>
        <v>9.1219610206951986E-3</v>
      </c>
      <c r="H28" s="1">
        <f t="shared" si="1"/>
        <v>0.55099792317287588</v>
      </c>
      <c r="I28" s="2">
        <v>0.36730309999999999</v>
      </c>
      <c r="J28" s="2">
        <v>-75.514061833</v>
      </c>
    </row>
    <row r="29" spans="1:10">
      <c r="A29" s="2" t="s">
        <v>18</v>
      </c>
      <c r="B29" s="1" t="s">
        <v>66</v>
      </c>
      <c r="C29" s="3">
        <v>557884</v>
      </c>
      <c r="D29" s="3">
        <v>1845</v>
      </c>
      <c r="E29" s="7">
        <v>302.37615176151763</v>
      </c>
      <c r="F29" s="3">
        <v>1030</v>
      </c>
      <c r="G29" s="1">
        <f t="shared" si="0"/>
        <v>0.5582655826558266</v>
      </c>
      <c r="H29" s="1">
        <f t="shared" si="1"/>
        <v>1.7510861716038952</v>
      </c>
      <c r="I29" s="2">
        <v>4.4552415669999998</v>
      </c>
      <c r="J29" s="2">
        <v>-75.689628528</v>
      </c>
    </row>
    <row r="30" spans="1:10">
      <c r="A30" s="2" t="s">
        <v>19</v>
      </c>
      <c r="B30" s="1" t="s">
        <v>52</v>
      </c>
      <c r="C30" s="3">
        <v>1003225</v>
      </c>
      <c r="D30" s="3">
        <v>4140</v>
      </c>
      <c r="E30" s="7">
        <v>242.32487922705315</v>
      </c>
      <c r="F30" s="3">
        <v>1528</v>
      </c>
      <c r="G30" s="1">
        <f t="shared" si="0"/>
        <v>0.36908212560386472</v>
      </c>
      <c r="H30" s="1">
        <f t="shared" si="1"/>
        <v>1.4445720507246218</v>
      </c>
      <c r="I30" s="2">
        <v>5.2407572389999997</v>
      </c>
      <c r="J30" s="2">
        <v>-76.002444694000005</v>
      </c>
    </row>
    <row r="31" spans="1:10">
      <c r="A31" s="2" t="s">
        <v>27</v>
      </c>
      <c r="B31" s="1" t="s">
        <v>63</v>
      </c>
      <c r="C31" s="3">
        <v>63438</v>
      </c>
      <c r="D31" s="3">
        <v>52</v>
      </c>
      <c r="E31" s="7">
        <v>1219.9615384615386</v>
      </c>
      <c r="F31" s="3">
        <v>89</v>
      </c>
      <c r="G31" s="1">
        <f t="shared" si="0"/>
        <v>1.7115384615384615</v>
      </c>
      <c r="H31" s="1">
        <f t="shared" si="1"/>
        <v>1.3306220742484292</v>
      </c>
      <c r="I31" s="2">
        <v>12.543115115999999</v>
      </c>
      <c r="J31" s="2">
        <v>-81.717623824</v>
      </c>
    </row>
    <row r="32" spans="1:10">
      <c r="A32" s="2" t="s">
        <v>14</v>
      </c>
      <c r="B32" s="1" t="s">
        <v>53</v>
      </c>
      <c r="C32" s="3">
        <v>582394</v>
      </c>
      <c r="D32" s="3">
        <v>294</v>
      </c>
      <c r="E32" s="7">
        <v>1980.9319727891157</v>
      </c>
      <c r="F32" s="3">
        <v>636</v>
      </c>
      <c r="G32" s="1">
        <f t="shared" si="0"/>
        <v>2.1632653061224492</v>
      </c>
      <c r="H32" s="1">
        <f t="shared" si="1"/>
        <v>1.0357487631730158</v>
      </c>
      <c r="I32" s="2">
        <v>11.204679</v>
      </c>
      <c r="J32" s="2">
        <v>-74.199828999999994</v>
      </c>
    </row>
    <row r="33" spans="1:10">
      <c r="A33" s="2" t="s">
        <v>20</v>
      </c>
      <c r="B33" s="1" t="s">
        <v>54</v>
      </c>
      <c r="C33" s="3">
        <v>2398303</v>
      </c>
      <c r="D33" s="3">
        <v>30537</v>
      </c>
      <c r="E33" s="7">
        <v>78.537610112322753</v>
      </c>
      <c r="F33" s="3">
        <v>2740</v>
      </c>
      <c r="G33" s="1">
        <f t="shared" si="0"/>
        <v>8.9727216163997772E-2</v>
      </c>
      <c r="H33" s="1">
        <f t="shared" si="1"/>
        <v>1.0835793298569154</v>
      </c>
      <c r="I33" s="2">
        <v>6.6936331840000003</v>
      </c>
      <c r="J33" s="2">
        <v>-73.486008937999998</v>
      </c>
    </row>
    <row r="34" spans="1:10">
      <c r="A34" s="2" t="s">
        <v>21</v>
      </c>
      <c r="B34" s="1" t="s">
        <v>55</v>
      </c>
      <c r="C34" s="3">
        <v>1034102</v>
      </c>
      <c r="D34" s="3">
        <v>10917</v>
      </c>
      <c r="E34" s="7">
        <v>94.724008427223595</v>
      </c>
      <c r="F34" s="3">
        <v>635</v>
      </c>
      <c r="G34" s="1">
        <f t="shared" si="0"/>
        <v>5.816616286525602E-2</v>
      </c>
      <c r="H34" s="1">
        <f t="shared" si="1"/>
        <v>0.58240426544560686</v>
      </c>
      <c r="I34" s="2">
        <v>9.0649414480000008</v>
      </c>
      <c r="J34" s="2">
        <v>-75.109817551999996</v>
      </c>
    </row>
    <row r="35" spans="1:10">
      <c r="A35" s="2" t="s">
        <v>22</v>
      </c>
      <c r="B35" s="1" t="s">
        <v>56</v>
      </c>
      <c r="C35" s="3">
        <v>1386410</v>
      </c>
      <c r="D35" s="3">
        <v>23562</v>
      </c>
      <c r="E35" s="7">
        <v>58.840930311518548</v>
      </c>
      <c r="F35" s="3">
        <v>1395</v>
      </c>
      <c r="G35" s="1">
        <f t="shared" si="0"/>
        <v>5.920550038197097E-2</v>
      </c>
      <c r="H35" s="1">
        <f t="shared" si="1"/>
        <v>0.95432593215984252</v>
      </c>
      <c r="I35" s="2">
        <v>4.0347725199999998</v>
      </c>
      <c r="J35" s="2">
        <v>-75.255827095000001</v>
      </c>
    </row>
    <row r="36" spans="1:10">
      <c r="A36" s="2" t="s">
        <v>23</v>
      </c>
      <c r="B36" s="1" t="s">
        <v>57</v>
      </c>
      <c r="C36" s="3">
        <v>4376339</v>
      </c>
      <c r="D36" s="3">
        <v>22140</v>
      </c>
      <c r="E36" s="7">
        <v>197.66662149954834</v>
      </c>
      <c r="F36" s="3">
        <v>1753</v>
      </c>
      <c r="G36" s="1">
        <f t="shared" si="0"/>
        <v>7.9177958446251126E-2</v>
      </c>
      <c r="H36" s="1">
        <f t="shared" si="1"/>
        <v>0.37991387941782384</v>
      </c>
      <c r="I36" s="2">
        <v>3.569858693</v>
      </c>
      <c r="J36" s="2">
        <v>-76.628504269999993</v>
      </c>
    </row>
    <row r="37" spans="1:10">
      <c r="A37" s="2" t="s">
        <v>31</v>
      </c>
      <c r="B37" s="1" t="s">
        <v>64</v>
      </c>
      <c r="C37" s="3">
        <v>44142</v>
      </c>
      <c r="D37" s="3">
        <v>54135</v>
      </c>
      <c r="E37" s="7">
        <v>0.81540592962039349</v>
      </c>
      <c r="F37" s="3">
        <v>7</v>
      </c>
      <c r="G37" s="1">
        <f t="shared" si="0"/>
        <v>1.293063637203288E-4</v>
      </c>
      <c r="H37" s="1">
        <f t="shared" si="1"/>
        <v>0.15040429330042701</v>
      </c>
      <c r="I37" s="2">
        <v>0.64624561000000003</v>
      </c>
      <c r="J37" s="2">
        <v>-70.561405656999995</v>
      </c>
    </row>
    <row r="38" spans="1:10">
      <c r="A38" s="2" t="s">
        <v>32</v>
      </c>
      <c r="B38" s="1" t="s">
        <v>58</v>
      </c>
      <c r="C38" s="3">
        <v>148738</v>
      </c>
      <c r="D38" s="3">
        <v>100242</v>
      </c>
      <c r="E38" s="7">
        <v>1.4837892300632469</v>
      </c>
      <c r="F38" s="3">
        <v>31</v>
      </c>
      <c r="G38" s="1">
        <f t="shared" si="0"/>
        <v>3.0925161110113527E-4</v>
      </c>
      <c r="H38" s="1">
        <f t="shared" si="1"/>
        <v>0.19767600532565502</v>
      </c>
      <c r="I38" s="2">
        <v>4.7135571250000003</v>
      </c>
      <c r="J38" s="2">
        <v>-69.414000110000003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González</dc:creator>
  <cp:lastModifiedBy>Camilo González</cp:lastModifiedBy>
  <dcterms:created xsi:type="dcterms:W3CDTF">2025-10-27T20:39:35Z</dcterms:created>
  <dcterms:modified xsi:type="dcterms:W3CDTF">2025-11-19T13:51:37Z</dcterms:modified>
</cp:coreProperties>
</file>